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D79F4AF6-D204-4B1B-9A08-9BFE690CD2D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1" l="1"/>
  <c r="C6" i="1"/>
  <c r="C16" i="1"/>
  <c r="B24" i="1" l="1"/>
  <c r="B14" i="1"/>
  <c r="C4" i="1"/>
  <c r="C8" i="1" l="1"/>
  <c r="C9" i="1"/>
  <c r="B26" i="1"/>
  <c r="C27" i="1" s="1"/>
  <c r="C28" i="1" s="1"/>
  <c r="C17" i="1"/>
  <c r="C18" i="1" s="1"/>
  <c r="C31" i="1" l="1"/>
</calcChain>
</file>

<file path=xl/sharedStrings.xml><?xml version="1.0" encoding="utf-8"?>
<sst xmlns="http://schemas.openxmlformats.org/spreadsheetml/2006/main" count="24" uniqueCount="19">
  <si>
    <t>MANIOBRAS ADUANA</t>
  </si>
  <si>
    <t>NUM CONTENEDORES</t>
  </si>
  <si>
    <t>COSTO MANIOBRAS</t>
  </si>
  <si>
    <t>TOTAL</t>
  </si>
  <si>
    <t>IVA</t>
  </si>
  <si>
    <t>TOTAL CON IMP</t>
  </si>
  <si>
    <t>IMPUESTOS</t>
  </si>
  <si>
    <t>VALOR ADUANA</t>
  </si>
  <si>
    <t>ADV/IGI</t>
  </si>
  <si>
    <t>DTA</t>
  </si>
  <si>
    <t>VALOR MERCANCIA</t>
  </si>
  <si>
    <t>INCREMENTABLES</t>
  </si>
  <si>
    <t>AGENCIA ADUANAL</t>
  </si>
  <si>
    <t>COMERCIALIZADORA</t>
  </si>
  <si>
    <t>COMPLEMENTARIOS</t>
  </si>
  <si>
    <t>COVE</t>
  </si>
  <si>
    <t>PEDIMENTO</t>
  </si>
  <si>
    <t>flete terrestre contenedor</t>
  </si>
  <si>
    <t>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</si>
</sst>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.0000_-;\-&quot;$&quot;* #,##0.0000_-;_-&quot;$&quot;* &quot;-&quot;????_-;_-@_-"/>
    <numFmt numFmtId="165" formatCode="_-&quot;$&quot;* #,##0.00_-;\-&quot;$&quot;* #,##0.00_-;_-&quot;$&quot;* &quot;-&quot;??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0" fillId="0" borderId="2" xfId="0" applyBorder="1"/>
    <xf numFmtId="44" fontId="0" fillId="0" borderId="2" xfId="0" applyNumberFormat="1" applyBorder="1"/>
    <xf numFmtId="44" fontId="0" fillId="0" borderId="1" xfId="1" applyFont="1" applyBorder="1"/>
    <xf numFmtId="44" fontId="2" fillId="0" borderId="1" xfId="1" applyFont="1" applyBorder="1"/>
    <xf numFmtId="0" fontId="2" fillId="0" borderId="1" xfId="0" applyFont="1" applyBorder="1"/>
    <xf numFmtId="44" fontId="2" fillId="0" borderId="1" xfId="0" applyNumberFormat="1" applyFont="1" applyBorder="1"/>
    <xf numFmtId="0" fontId="0" fillId="2" borderId="1" xfId="0" applyFill="1" applyBorder="1"/>
    <xf numFmtId="0" fontId="2" fillId="0" borderId="2" xfId="0" applyFont="1" applyBorder="1"/>
    <xf numFmtId="0" fontId="3" fillId="0" borderId="3" xfId="0" applyFont="1" applyBorder="1"/>
    <xf numFmtId="44" fontId="0" fillId="2" borderId="1" xfId="1" applyFont="1" applyFill="1" applyBorder="1"/>
    <xf numFmtId="164" fontId="0" fillId="0" borderId="1" xfId="0" applyNumberFormat="1" applyBorder="1"/>
    <xf numFmtId="0" fontId="3" fillId="0" borderId="1" xfId="0" applyFont="1" applyBorder="1"/>
    <xf numFmtId="165" fontId="0" fillId="0" borderId="1" xfId="0" applyNumberFormat="1" applyBorder="1"/>
    <xf numFmtId="44" fontId="4" fillId="0" borderId="3" xfId="0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26" sqref="B26"/>
    </sheetView>
  </sheetViews>
  <sheetFormatPr baseColWidth="10" defaultRowHeight="14.25" x14ac:dyDescent="0.45"/>
  <cols>
    <col min="1" max="1" width="22.06640625" bestFit="1" customWidth="1"/>
    <col min="2" max="2" width="17.46484375" bestFit="1" customWidth="1"/>
    <col min="3" max="3" width="13.6640625" customWidth="1"/>
  </cols>
  <sheetData>
    <row r="1" spans="1:3" ht="14.65" thickBot="1" x14ac:dyDescent="0.5"/>
    <row r="2" spans="1:3" ht="16.149999999999999" thickBot="1" x14ac:dyDescent="0.55000000000000004">
      <c r="A2" s="11" t="s">
        <v>0</v>
      </c>
    </row>
    <row r="3" spans="1:3" x14ac:dyDescent="0.45">
      <c r="A3" s="10" t="s">
        <v>1</v>
      </c>
      <c r="B3" s="7" t="s">
        <v>2</v>
      </c>
      <c r="C3" s="7" t="s">
        <v>3</v>
      </c>
    </row>
    <row r="4" spans="1:3" x14ac:dyDescent="0.45">
      <c r="A4" s="9">
        <v>1</v>
      </c>
      <c r="B4" s="6">
        <v>15000</v>
      </c>
      <c r="C4" s="5">
        <f>A4*B4</f>
        <v>15000</v>
      </c>
    </row>
    <row r="5" spans="1:3" x14ac:dyDescent="0.45">
      <c r="A5" s="1" t="s">
        <v>17</v>
      </c>
      <c r="B5" s="5"/>
      <c r="C5" s="5"/>
    </row>
    <row r="6" spans="1:3" x14ac:dyDescent="0.45">
      <c r="A6" s="9">
        <v>1</v>
      </c>
      <c r="B6" s="5">
        <v>0</v>
      </c>
      <c r="C6" s="5">
        <f>B6</f>
        <v>0</v>
      </c>
    </row>
    <row r="7" spans="1:3" x14ac:dyDescent="0.45">
      <c r="A7" s="1"/>
      <c r="B7" s="1"/>
      <c r="C7" s="1"/>
    </row>
    <row r="8" spans="1:3" x14ac:dyDescent="0.45">
      <c r="B8" s="3" t="s">
        <v>4</v>
      </c>
      <c r="C8" s="4">
        <f>(C4+C6)*0.16</f>
        <v>2400</v>
      </c>
    </row>
    <row r="9" spans="1:3" x14ac:dyDescent="0.45">
      <c r="B9" s="1" t="s">
        <v>5</v>
      </c>
      <c r="C9" s="8">
        <f>C4+C8+C6</f>
        <v>17400</v>
      </c>
    </row>
    <row r="10" spans="1:3" ht="14.65" thickBot="1" x14ac:dyDescent="0.5"/>
    <row r="11" spans="1:3" ht="16.149999999999999" thickBot="1" x14ac:dyDescent="0.55000000000000004">
      <c r="A11" s="11" t="s">
        <v>6</v>
      </c>
    </row>
    <row r="12" spans="1:3" x14ac:dyDescent="0.45">
      <c r="A12" s="10" t="s">
        <v>10</v>
      </c>
      <c r="B12" s="12">
        <v>100000</v>
      </c>
    </row>
    <row r="13" spans="1:3" x14ac:dyDescent="0.45">
      <c r="A13" s="7" t="s">
        <v>11</v>
      </c>
      <c r="B13" s="12"/>
    </row>
    <row r="14" spans="1:3" x14ac:dyDescent="0.45">
      <c r="A14" s="7" t="s">
        <v>7</v>
      </c>
      <c r="B14" s="5">
        <f>B12+B13</f>
        <v>100000</v>
      </c>
      <c r="C14" s="1"/>
    </row>
    <row r="15" spans="1:3" x14ac:dyDescent="0.45">
      <c r="A15" s="1"/>
      <c r="B15" s="7" t="s">
        <v>8</v>
      </c>
      <c r="C15" s="5">
        <v>0</v>
      </c>
    </row>
    <row r="16" spans="1:3" x14ac:dyDescent="0.45">
      <c r="A16" s="1"/>
      <c r="B16" s="7" t="s">
        <v>9</v>
      </c>
      <c r="C16" s="5">
        <f>B14*0.008</f>
        <v>800</v>
      </c>
    </row>
    <row r="17" spans="1:3" x14ac:dyDescent="0.45">
      <c r="A17" s="1"/>
      <c r="B17" s="7" t="s">
        <v>4</v>
      </c>
      <c r="C17" s="5">
        <f>(B14+C16)*0.161</f>
        <v>16228.800000000001</v>
      </c>
    </row>
    <row r="18" spans="1:3" x14ac:dyDescent="0.45">
      <c r="B18" s="7" t="s">
        <v>3</v>
      </c>
      <c r="C18" s="6">
        <f>SUM(C15:C17)</f>
        <v>17028.800000000003</v>
      </c>
    </row>
    <row r="20" spans="1:3" ht="15.75" x14ac:dyDescent="0.5">
      <c r="A20" s="14" t="s">
        <v>12</v>
      </c>
      <c r="B20" s="1"/>
      <c r="C20" s="1"/>
    </row>
    <row r="21" spans="1:3" x14ac:dyDescent="0.45">
      <c r="A21" s="7" t="s">
        <v>18</v>
      </c>
      <c r="B21" s="13">
        <v>2600</v>
      </c>
      <c r="C21" s="1"/>
    </row>
    <row r="22" spans="1:3" x14ac:dyDescent="0.45">
      <c r="A22" s="7" t="s">
        <v>14</v>
      </c>
      <c r="B22" s="5">
        <v>2400</v>
      </c>
      <c r="C22" s="1"/>
    </row>
    <row r="23" spans="1:3" x14ac:dyDescent="0.45">
      <c r="A23" s="7" t="s">
        <v>16</v>
      </c>
      <c r="B23" s="5">
        <v>300</v>
      </c>
      <c r="C23" s="1"/>
    </row>
    <row r="24" spans="1:3" x14ac:dyDescent="0.45">
      <c r="A24" s="7" t="s">
        <v>15</v>
      </c>
      <c r="B24" s="5">
        <f>350*A4</f>
        <v>350</v>
      </c>
      <c r="C24" s="1"/>
    </row>
    <row r="25" spans="1:3" ht="15.75" x14ac:dyDescent="0.5">
      <c r="A25" s="14" t="s">
        <v>13</v>
      </c>
      <c r="B25" s="5">
        <f>B12*0.033</f>
        <v>3300</v>
      </c>
      <c r="C25" s="1"/>
    </row>
    <row r="26" spans="1:3" x14ac:dyDescent="0.45">
      <c r="A26" s="1"/>
      <c r="B26" s="15">
        <f>B21+B22+B24+B25+B23</f>
        <v>8950</v>
      </c>
      <c r="C26" s="1"/>
    </row>
    <row r="27" spans="1:3" x14ac:dyDescent="0.45">
      <c r="A27" s="1"/>
      <c r="B27" s="7" t="s">
        <v>4</v>
      </c>
      <c r="C27" s="2">
        <f>B26*0.16</f>
        <v>1432</v>
      </c>
    </row>
    <row r="28" spans="1:3" x14ac:dyDescent="0.45">
      <c r="A28" s="1"/>
      <c r="B28" s="7" t="s">
        <v>3</v>
      </c>
      <c r="C28" s="8">
        <f>B26+C27</f>
        <v>10382</v>
      </c>
    </row>
    <row r="30" spans="1:3" ht="14.65" thickBot="1" x14ac:dyDescent="0.5"/>
    <row r="31" spans="1:3" ht="14.65" thickBot="1" x14ac:dyDescent="0.5">
      <c r="B31" t="s">
        <v>3</v>
      </c>
      <c r="C31" s="16">
        <f>C28+C18+C9</f>
        <v>44810.8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baqueiro</dc:creator>
  <cp:lastModifiedBy>Jorge David Baqueiro Hadad</cp:lastModifiedBy>
  <dcterms:created xsi:type="dcterms:W3CDTF">2020-06-18T17:37:06Z</dcterms:created>
  <dcterms:modified xsi:type="dcterms:W3CDTF">2023-12-12T18:17:54Z</dcterms:modified>
</cp:coreProperties>
</file>